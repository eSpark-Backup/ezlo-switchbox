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switchbox\Deliverables\BOM\"/>
    </mc:Choice>
  </mc:AlternateContent>
  <xr:revisionPtr revIDLastSave="0" documentId="13_ncr:1_{58068066-FCA1-43E7-B2B4-69A27234D8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10" i="1"/>
  <c r="B41" i="1" l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<sst xmlns="http://schemas.openxmlformats.org/spreadsheetml/2006/main" count="346" uniqueCount="222">
  <si>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</si>
  <si>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</si>
  <si>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</si>
  <si>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</si>
  <si>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</si>
  <si>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</si>
  <si>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</si>
  <si>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</si>
  <si>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Fuse</t>
  </si>
  <si>
    <t>Terminal Block</t>
  </si>
  <si>
    <t>Relay</t>
  </si>
  <si>
    <t>LED</t>
  </si>
  <si>
    <t>Resistor Array</t>
  </si>
  <si>
    <t>Resistor</t>
  </si>
  <si>
    <t>Switch</t>
  </si>
  <si>
    <t>Module</t>
  </si>
  <si>
    <t>Temperature &amp; Humidity Sensor</t>
  </si>
  <si>
    <t>Optocoupler</t>
  </si>
  <si>
    <t>IC</t>
  </si>
  <si>
    <t>Designator</t>
  </si>
  <si>
    <t>C1, C9</t>
  </si>
  <si>
    <t>C2, C4, C5</t>
  </si>
  <si>
    <t>C3</t>
  </si>
  <si>
    <t>C8</t>
  </si>
  <si>
    <t>C10</t>
  </si>
  <si>
    <t>C11, C12</t>
  </si>
  <si>
    <t>C13</t>
  </si>
  <si>
    <t>C14</t>
  </si>
  <si>
    <t>D1</t>
  </si>
  <si>
    <t>F1</t>
  </si>
  <si>
    <t>J1</t>
  </si>
  <si>
    <t>J2</t>
  </si>
  <si>
    <t>J3</t>
  </si>
  <si>
    <t>K1, K2, K3, K4, K5, K6, K7, K8, K9, K10</t>
  </si>
  <si>
    <t>LED1, LED2, LED3, LED4, LED5, LED6, LED7, LED8, LED9, LED10</t>
  </si>
  <si>
    <t>P1, P4, P5, P6, P7, P8, P9, P10, P11, P12, P13</t>
  </si>
  <si>
    <t>P2, P3, P14, P15</t>
  </si>
  <si>
    <t>Q2</t>
  </si>
  <si>
    <t>Q3</t>
  </si>
  <si>
    <t>R1, R2, R17, R18, R50, Rx1</t>
  </si>
  <si>
    <t>R3, R4, R5</t>
  </si>
  <si>
    <t>R6, R7, R8</t>
  </si>
  <si>
    <t>R12, R13</t>
  </si>
  <si>
    <t>R14</t>
  </si>
  <si>
    <t>R16</t>
  </si>
  <si>
    <t>R20, R21, R22, R23, R24, R25, R26, R27, R28, R29</t>
  </si>
  <si>
    <t>SW1</t>
  </si>
  <si>
    <t>U1</t>
  </si>
  <si>
    <t>U2</t>
  </si>
  <si>
    <t>U3, U4, U6, U7, U8, U9, U10, U11, U12, U13</t>
  </si>
  <si>
    <t>U5</t>
  </si>
  <si>
    <t>U14, U15</t>
  </si>
  <si>
    <t>Description</t>
  </si>
  <si>
    <t>CAP CER 22UF 25V X5R 0805</t>
  </si>
  <si>
    <t>CAP CER 0.1UF 50V X5R 0402</t>
  </si>
  <si>
    <t>CAP CER 1UF 25V X5R 0603</t>
  </si>
  <si>
    <t>CAP CER 10UF 25V X5R 0603</t>
  </si>
  <si>
    <t>CAP CER 4700PF 1KV X7R 1206</t>
  </si>
  <si>
    <t>DO Not Mount</t>
  </si>
  <si>
    <t>CAP CER 1UF 10V X5R 0402</t>
  </si>
  <si>
    <t>CAP CER 4.7UF 10V X5R 0402</t>
  </si>
  <si>
    <t>ESD Suppressor TVS 5.5V 4-Pin(3+Tab) SOT-143 T/R</t>
  </si>
  <si>
    <t>6V 1A 50A 1W -40℃~+85℃ 2A 9mΩ 0.5s 80mΩ 0603 Resettable Fuses ROHS</t>
  </si>
  <si>
    <t>DNP</t>
  </si>
  <si>
    <t>250mA 1 16 Female Type-C SMD USB Connectors ROHS</t>
  </si>
  <si>
    <t>Plugin,P=5mm Screw terminal ROHS</t>
  </si>
  <si>
    <t>AgCdO 5V 10A SPDT (1 Form C) Electromagnetic Relay-Single Coil Plugin Power Relays ROHS</t>
  </si>
  <si>
    <t>Green 520~535nm 0402 Light Emitting Diodes (LED) RoHS</t>
  </si>
  <si>
    <t>P=5.0mm Screw terminal RoHS</t>
  </si>
  <si>
    <t>Test Point ON</t>
  </si>
  <si>
    <t>MOSFET P-CH 12V 2.6A SUPERSOT3</t>
  </si>
  <si>
    <t>Trans Gp Bjt NPN 25V 1.5A 300MW 3-PIN SOT-23 T/r</t>
  </si>
  <si>
    <t>RES SMD 10K OHM 5% 1/5W 0603, RES SMD 10K Ohm 1% 1/10W 0603</t>
  </si>
  <si>
    <t>4 8 ±5% 330Ω 62.5mW ±250ppm/℃ 0402x4 Resistor Networks &amp; Arrays ROHS</t>
  </si>
  <si>
    <t>RES SMD 47 OHM 1% 1/10W 0402</t>
  </si>
  <si>
    <t>RES SMD 5.1 KOHM 1% 1/5W 0402</t>
  </si>
  <si>
    <t>RES SMD 1M OHM 1% 1/10W 0603</t>
  </si>
  <si>
    <t>RES 100K OHM 1% 1/16W 0402</t>
  </si>
  <si>
    <t>RES 100 OHM 1% 1/16W 0402</t>
  </si>
  <si>
    <t>3.5mm 3.5mm SMDSplicing Black Rectangle button 50mA Surface Mount 7mm SPST 100MΩ 20000 12V 250gf@±50gf SMD Tactile Switches ROHS</t>
  </si>
  <si>
    <t>RF TXRX MOD WIFI SURFACE MOUNT</t>
  </si>
  <si>
    <t>DFN-6-EP(2x2) Temperature and Humidity Sensor ROHS</t>
  </si>
  <si>
    <t>Optoisolator Transistor Output 3750Vrms 1 Channel</t>
  </si>
  <si>
    <t>IC REG LINEAR 3.3V 1.2A SOT223</t>
  </si>
  <si>
    <t>TRANS 7NPN DARL 50V 0.5A 16SOIC</t>
  </si>
  <si>
    <t>Footprint</t>
  </si>
  <si>
    <t>Cap-0805</t>
  </si>
  <si>
    <t>Cap-0402</t>
  </si>
  <si>
    <t>Cap-0603</t>
  </si>
  <si>
    <t>Cap-1206</t>
  </si>
  <si>
    <t>SOT-143-4_</t>
  </si>
  <si>
    <t>fuse-0603</t>
  </si>
  <si>
    <t>Voltlink Target</t>
  </si>
  <si>
    <t>WJ301V-5.0-4P-12-00A</t>
  </si>
  <si>
    <t>JQC-3FF/005-1ZS(551)</t>
  </si>
  <si>
    <t>LED-0402</t>
  </si>
  <si>
    <t>WJ301V-5.0-3P</t>
  </si>
  <si>
    <t>Test-point</t>
  </si>
  <si>
    <t>SOT-23</t>
  </si>
  <si>
    <t>RES-0603</t>
  </si>
  <si>
    <t>Res-0402x4</t>
  </si>
  <si>
    <t>Res-0402</t>
  </si>
  <si>
    <t>Res-0603</t>
  </si>
  <si>
    <t>YTS-B003-2A</t>
  </si>
  <si>
    <t>41-SMD UFL Module</t>
  </si>
  <si>
    <t>DFN-6-EP(2x2)</t>
  </si>
  <si>
    <t>SOP-4_2.54</t>
  </si>
  <si>
    <t>SOT- 223</t>
  </si>
  <si>
    <t>16-SOIC</t>
  </si>
  <si>
    <t>Manufacturer Part Number</t>
  </si>
  <si>
    <t>CL21A226MAYNNNE</t>
  </si>
  <si>
    <t>C1005X5R1H104K050BB</t>
  </si>
  <si>
    <t>CC0603KRX5R8BB105</t>
  </si>
  <si>
    <t>C1608X5R1E106M080AC</t>
  </si>
  <si>
    <t>CC1206KKX7RCBB472</t>
  </si>
  <si>
    <t>CC0402KRX5R6BB105</t>
  </si>
  <si>
    <t>CC0402KRX5R6BB475</t>
  </si>
  <si>
    <t>SP0503BAHTG</t>
  </si>
  <si>
    <t>BSMD0603L-100</t>
  </si>
  <si>
    <t>TYPE-C-31-M-12</t>
  </si>
  <si>
    <t>16-213/GHC-YR1S1/3T</t>
  </si>
  <si>
    <t>FDN306P</t>
  </si>
  <si>
    <t>SS8050-G</t>
  </si>
  <si>
    <t>CRGH0603J10K, RC0603FR-0710KL</t>
  </si>
  <si>
    <t>CN24JTN331</t>
  </si>
  <si>
    <t>ERJ-2RKF47R0X</t>
  </si>
  <si>
    <t>ERJ-PA2F5101X</t>
  </si>
  <si>
    <t>RC0603FR-071ML</t>
  </si>
  <si>
    <t>RC0402FR-07100KL</t>
  </si>
  <si>
    <t>RC0402FR-07100RL</t>
  </si>
  <si>
    <t>ESP32-S3-WROOM-1U-N4</t>
  </si>
  <si>
    <t>GXHTC3</t>
  </si>
  <si>
    <t>IS181GB</t>
  </si>
  <si>
    <t>LDL1117S33R</t>
  </si>
  <si>
    <t>ULN2003AD</t>
  </si>
  <si>
    <t>Manufacturer</t>
  </si>
  <si>
    <t>Samsung</t>
  </si>
  <si>
    <t>TDK</t>
  </si>
  <si>
    <t>Yageo</t>
  </si>
  <si>
    <t>Littelfuse</t>
  </si>
  <si>
    <t>BHFUSE</t>
  </si>
  <si>
    <t>Korean Hroparts Elec</t>
  </si>
  <si>
    <t>Ningbo Kangnex Elec</t>
  </si>
  <si>
    <t>HF(Xiamen Hongfa Electroacoustic)</t>
  </si>
  <si>
    <t>Everlight Elec</t>
  </si>
  <si>
    <t>ON Semiconductor / Fairchild</t>
  </si>
  <si>
    <t>Comchip</t>
  </si>
  <si>
    <t>TE Connectivity Holsworthy, Yageo</t>
  </si>
  <si>
    <t>TA-I Tech</t>
  </si>
  <si>
    <t>Panasonic</t>
  </si>
  <si>
    <t>YIYUAN</t>
  </si>
  <si>
    <t>Espressif Systems</t>
  </si>
  <si>
    <t>GXCAS</t>
  </si>
  <si>
    <t>Isocom</t>
  </si>
  <si>
    <t>STMicroelectronics</t>
  </si>
  <si>
    <t>LCSC Part Number</t>
  </si>
  <si>
    <t>C602037</t>
  </si>
  <si>
    <t>C14664</t>
  </si>
  <si>
    <t>C107198</t>
  </si>
  <si>
    <t>C106254</t>
  </si>
  <si>
    <t>C326586</t>
  </si>
  <si>
    <t>C3029025</t>
  </si>
  <si>
    <t>C2757929</t>
  </si>
  <si>
    <t>C165948</t>
  </si>
  <si>
    <t>C3031442</t>
  </si>
  <si>
    <t>C9221</t>
  </si>
  <si>
    <t>C74338</t>
  </si>
  <si>
    <t>C8483</t>
  </si>
  <si>
    <t>C725031</t>
  </si>
  <si>
    <t>C105433</t>
  </si>
  <si>
    <t>C2092011, C98220</t>
  </si>
  <si>
    <t>C162973</t>
  </si>
  <si>
    <t>C413056</t>
  </si>
  <si>
    <t>C105578</t>
  </si>
  <si>
    <t>C2910695</t>
  </si>
  <si>
    <t>C2980296</t>
  </si>
  <si>
    <t>C2837688</t>
  </si>
  <si>
    <t>C84196</t>
  </si>
  <si>
    <t>C435835</t>
  </si>
  <si>
    <t>22uF</t>
  </si>
  <si>
    <t>0.1uF</t>
  </si>
  <si>
    <t>1uF</t>
  </si>
  <si>
    <t>10uF</t>
  </si>
  <si>
    <t>4.7nF</t>
  </si>
  <si>
    <t>4.7uF</t>
  </si>
  <si>
    <t>10K</t>
  </si>
  <si>
    <t>330R</t>
  </si>
  <si>
    <t>47R</t>
  </si>
  <si>
    <t>5.1K</t>
  </si>
  <si>
    <t>1M</t>
  </si>
  <si>
    <t>100K</t>
  </si>
  <si>
    <t>100R</t>
  </si>
  <si>
    <t>Quantity</t>
  </si>
  <si>
    <t>Alternate Part Number</t>
  </si>
  <si>
    <t>Value</t>
  </si>
  <si>
    <t>Links</t>
  </si>
  <si>
    <t>Remarks</t>
  </si>
  <si>
    <t>Reviewer Remarks</t>
  </si>
  <si>
    <t>Quantity (10 Boards)</t>
  </si>
  <si>
    <t>MOQ (10 Boards)</t>
  </si>
  <si>
    <t>Unit Cost (10 Boards)</t>
  </si>
  <si>
    <t>Total Cost (10 Boards)</t>
  </si>
  <si>
    <t>-</t>
  </si>
  <si>
    <t>Custom</t>
  </si>
  <si>
    <t>Bill of Materials for Project [switch-box.PrjPcb]</t>
  </si>
  <si>
    <t>switch-box</t>
  </si>
  <si>
    <t>Diode</t>
  </si>
  <si>
    <t xml:space="preserve">JST Connector </t>
  </si>
  <si>
    <t>USB Connector</t>
  </si>
  <si>
    <t>Mosfet</t>
  </si>
  <si>
    <t>Test Point</t>
  </si>
  <si>
    <t>LCSC</t>
  </si>
  <si>
    <t>CC0402KRX7R9BB103</t>
  </si>
  <si>
    <t>C60133</t>
  </si>
  <si>
    <t>CL10A106MA8NRNC</t>
  </si>
  <si>
    <t>C96446</t>
  </si>
  <si>
    <t>C105873</t>
  </si>
  <si>
    <t>RC0402JR-075K1L</t>
  </si>
  <si>
    <t>C60491</t>
  </si>
  <si>
    <t>C2935235</t>
  </si>
  <si>
    <t xml:space="preserve">Mixic </t>
  </si>
  <si>
    <t>C181730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</si>
</sst>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:ss\ AM/PM;@"/>
    <numFmt numFmtId="165" formatCode="&quot;$&quot;#,##0.00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9" fillId="4" borderId="17" xfId="0" applyFont="1" applyFill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ESD-Protection-Devices_MSKSEMI-SP0503BAHTG-MS_C3029025.html" TargetMode="External"/><Relationship Id="rId13" Type="http://schemas.openxmlformats.org/officeDocument/2006/relationships/hyperlink" Target="https://www.lcsc.com/product-detail/Light-Emitting-Diodes-LED_Everlight-Elec-16-213-GHC-YR1S1-3T_C74338.html" TargetMode="External"/><Relationship Id="rId18" Type="http://schemas.openxmlformats.org/officeDocument/2006/relationships/hyperlink" Target="https://www.lcsc.com/product-detail/Chip-Resistor-Surface-Mount_PANASONIC-ERJ2RKF47R0X_C413056.html" TargetMode="External"/><Relationship Id="rId26" Type="http://schemas.openxmlformats.org/officeDocument/2006/relationships/hyperlink" Target="https://www.lcsc.com/product-detail/Optocouplers-Phototransistor-Output_Isocom-Components-IS181GB_C84196.html" TargetMode="External"/><Relationship Id="rId3" Type="http://schemas.openxmlformats.org/officeDocument/2006/relationships/hyperlink" Target="https://www.lcsc.com/product-detail/Multilayer-Ceramic-Capacitors-MLCC-SMD-SMT_YAGEO-CC0603KRX5R8BB105_C14664.html" TargetMode="External"/><Relationship Id="rId21" Type="http://schemas.openxmlformats.org/officeDocument/2006/relationships/hyperlink" Target="https://www.lcsc.com/product-detail/Chip-Resistor-Surface-Mount_YAGEO-RC0402FR-07100KL_C60491.html" TargetMode="External"/><Relationship Id="rId7" Type="http://schemas.openxmlformats.org/officeDocument/2006/relationships/hyperlink" Target="https://www.lcsc.com/product-detail/Multilayer-Ceramic-Capacitors-MLCC-SMD-SMT_YAGEO-CC0402KRX5R6BB475_C326586.html" TargetMode="External"/><Relationship Id="rId12" Type="http://schemas.openxmlformats.org/officeDocument/2006/relationships/hyperlink" Target="https://www.lcsc.com/product-detail/Power-Relays_HF-Xiamen-Hongfa-Electroacoustic-JQC-3FF-005-1ZS-551_C9221.html" TargetMode="External"/><Relationship Id="rId17" Type="http://schemas.openxmlformats.org/officeDocument/2006/relationships/hyperlink" Target="https://www.lcsc.com/product-detail/Resistor-Networks-Arrays_TA-I-Tech-CN24JTN331_C162973.html" TargetMode="External"/><Relationship Id="rId25" Type="http://schemas.openxmlformats.org/officeDocument/2006/relationships/hyperlink" Target="https://www.lcsc.com/product-detail/Temperature-and-Humidity-Sensor_GXCAS-GXHTC3_C2837688.html" TargetMode="External"/><Relationship Id="rId2" Type="http://schemas.openxmlformats.org/officeDocument/2006/relationships/hyperlink" Target="https://www.lcsc.com/product-detail/Multilayer-Ceramic-Capacitors-MLCC-SMD-SMT_YAGEO-CC0402KRX7R9BB103_C60133.html" TargetMode="External"/><Relationship Id="rId16" Type="http://schemas.openxmlformats.org/officeDocument/2006/relationships/hyperlink" Target="https://www.lcsc.com/product-detail/Bipolar-Transistors-BJT_Jiangsu-Changjing-Electronics-Technology-Co-Ltd-S8050_C105433.html" TargetMode="External"/><Relationship Id="rId20" Type="http://schemas.openxmlformats.org/officeDocument/2006/relationships/hyperlink" Target="https://www.lcsc.com/product-detail/Chip-Resistor-Surface-Mount_YAGEO-RC0603FR-071ML_C105578.html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Samsung-Electro-Mechanics-CL21A226MAYNNNE_C602037.html" TargetMode="External"/><Relationship Id="rId6" Type="http://schemas.openxmlformats.org/officeDocument/2006/relationships/hyperlink" Target="https://www.lcsc.com/product-detail/Multilayer-Ceramic-Capacitors-MLCC-SMD-SMT_YAGEO-CC0402KRX5R6BB105_C106254.html" TargetMode="External"/><Relationship Id="rId11" Type="http://schemas.openxmlformats.org/officeDocument/2006/relationships/hyperlink" Target="https://www.lcsc.com/product-detail/Screw-terminal_Ningbo-Kangnex-Elec-WJ301V-5-0-4P-12-00A_C3031442.html" TargetMode="External"/><Relationship Id="rId24" Type="http://schemas.openxmlformats.org/officeDocument/2006/relationships/hyperlink" Target="https://www.lcsc.com/product-detail/WiFi-Modules_Espressif-Systems-ESP32-S3-WROOM-1U-N4_C2980296.html" TargetMode="External"/><Relationship Id="rId5" Type="http://schemas.openxmlformats.org/officeDocument/2006/relationships/hyperlink" Target="https://www.lcsc.com/product-detail/Multilayer-Ceramic-Capacitors-MLCC-SMD-SMT_YAGEO-CC1206KKX7RCBB472_C107198.html" TargetMode="External"/><Relationship Id="rId15" Type="http://schemas.openxmlformats.org/officeDocument/2006/relationships/hyperlink" Target="https://www.lcsc.com/product-detail/MOSFETs_VBsemi-Elec-FDN306P-VB_C725031.html" TargetMode="External"/><Relationship Id="rId23" Type="http://schemas.openxmlformats.org/officeDocument/2006/relationships/hyperlink" Target="https://www.lcsc.com/product-detail/Tactile-Switches_YIYUAN-YTS-B003-2A_C2910695.html" TargetMode="External"/><Relationship Id="rId28" Type="http://schemas.openxmlformats.org/officeDocument/2006/relationships/hyperlink" Target="https://www.lcsc.com/product-detail/Darlington-Transistor-Arrays_Mixic-ULN2003A_C181730.html" TargetMode="External"/><Relationship Id="rId10" Type="http://schemas.openxmlformats.org/officeDocument/2006/relationships/hyperlink" Target="https://www.lcsc.com/product-detail/USB-Connectors_Korean-Hroparts-Elec-TYPE-C-31-M-12_C165948.html" TargetMode="External"/><Relationship Id="rId19" Type="http://schemas.openxmlformats.org/officeDocument/2006/relationships/hyperlink" Target="https://www.lcsc.com/product-detail/Chip-span-style-background-color-ff0-Resistor-span-Surface-Mount_YAGEO-RC0402JR-075K1L_C105873.html" TargetMode="External"/><Relationship Id="rId4" Type="http://schemas.openxmlformats.org/officeDocument/2006/relationships/hyperlink" Target="https://www.lcsc.com/product-detail/Multilayer-Ceramic-Capacitors-MLCC-SMD-SMT_Samsung-Electro-Mechanics-CL10A106MA8NRNC_C96446.html" TargetMode="External"/><Relationship Id="rId9" Type="http://schemas.openxmlformats.org/officeDocument/2006/relationships/hyperlink" Target="https://www.lcsc.com/product-detail/Resettable-Fuses_BHFUSE-BSMD0603L-100_C2757929.html" TargetMode="External"/><Relationship Id="rId14" Type="http://schemas.openxmlformats.org/officeDocument/2006/relationships/hyperlink" Target="https://www.lcsc.com/product-detail/Screw-terminal_Ningbo-Kangnex-Elec-WJ301V-5-0-3P_C8483.html" TargetMode="External"/><Relationship Id="rId22" Type="http://schemas.openxmlformats.org/officeDocument/2006/relationships/hyperlink" Target="https://www.lcsc.com/product-detail/Chip-Resistor-Surface-Mount_YAGEO-RC0402FR-07100RL_C2935235.html" TargetMode="External"/><Relationship Id="rId27" Type="http://schemas.openxmlformats.org/officeDocument/2006/relationships/hyperlink" Target="https://www.lcsc.com/product-detail/Linear-Voltage-Regulators-LDO_STMicroelectronics-LDL1117S33R_C435835.html" TargetMode="Externa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3"/>
  <sheetViews>
    <sheetView tabSelected="1" workbookViewId="0">
      <selection activeCell="A19" sqref="A1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3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9"/>
      <c r="L1" s="59"/>
      <c r="M1" s="59"/>
      <c r="N1" s="59"/>
      <c r="O1" s="59"/>
      <c r="P1" s="59"/>
      <c r="Q1" s="59"/>
      <c r="R1" s="59"/>
      <c r="S1" s="60"/>
    </row>
    <row r="2" spans="1:19" ht="32.25" thickBot="1" x14ac:dyDescent="0.3">
      <c r="A2" s="1"/>
      <c r="B2" s="21"/>
      <c r="C2" s="38"/>
      <c r="D2" s="11" t="s">
        <v>0</v>
      </c>
      <c r="E2" s="11"/>
      <c r="F2" s="55" t="s">
        <v>204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6" t="s">
        <v>205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1"/>
    </row>
    <row r="4" spans="1:19" x14ac:dyDescent="0.25">
      <c r="A4" s="1"/>
      <c r="B4" s="22"/>
      <c r="C4" s="39"/>
      <c r="D4" s="13" t="s">
        <v>2</v>
      </c>
      <c r="E4" s="13"/>
      <c r="F4" s="57" t="s">
        <v>205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2"/>
    </row>
    <row r="5" spans="1:19" x14ac:dyDescent="0.25">
      <c r="A5" s="1"/>
      <c r="B5" s="22"/>
      <c r="C5" s="39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2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2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2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2"/>
    </row>
    <row r="9" spans="1:19" ht="15.75" thickBot="1" x14ac:dyDescent="0.3">
      <c r="A9" s="1"/>
      <c r="B9" s="30" t="s">
        <v>4</v>
      </c>
      <c r="C9" s="30" t="s">
        <v>6</v>
      </c>
      <c r="D9" s="31" t="s">
        <v>19</v>
      </c>
      <c r="E9" s="30" t="s">
        <v>52</v>
      </c>
      <c r="F9" s="31" t="s">
        <v>85</v>
      </c>
      <c r="G9" s="30" t="s">
        <v>109</v>
      </c>
      <c r="H9" s="31" t="s">
        <v>135</v>
      </c>
      <c r="I9" s="30" t="s">
        <v>193</v>
      </c>
      <c r="J9" s="31" t="s">
        <v>155</v>
      </c>
      <c r="K9" s="67" t="s">
        <v>194</v>
      </c>
      <c r="L9" s="30" t="s">
        <v>192</v>
      </c>
      <c r="M9" s="68" t="s">
        <v>198</v>
      </c>
      <c r="N9" s="31" t="s">
        <v>199</v>
      </c>
      <c r="O9" s="30" t="s">
        <v>195</v>
      </c>
      <c r="P9" s="31" t="s">
        <v>200</v>
      </c>
      <c r="Q9" s="30" t="s">
        <v>201</v>
      </c>
      <c r="R9" s="31" t="s">
        <v>196</v>
      </c>
      <c r="S9" s="30" t="s">
        <v>197</v>
      </c>
    </row>
    <row r="10" spans="1:19" ht="15.75" thickBot="1" x14ac:dyDescent="0.3">
      <c r="A10" s="1"/>
      <c r="B10" s="37">
        <f>ROW(B10) - ROW($B$9)</f>
        <v>1</v>
      </c>
      <c r="C10" s="69" t="s">
        <v>7</v>
      </c>
      <c r="D10" s="45" t="s">
        <v>20</v>
      </c>
      <c r="E10" s="46" t="s">
        <v>53</v>
      </c>
      <c r="F10" s="45" t="s">
        <v>86</v>
      </c>
      <c r="G10" s="46" t="s">
        <v>110</v>
      </c>
      <c r="H10" s="45" t="s">
        <v>136</v>
      </c>
      <c r="I10" s="45" t="s">
        <v>202</v>
      </c>
      <c r="J10" s="45" t="s">
        <v>156</v>
      </c>
      <c r="K10" s="45" t="s">
        <v>179</v>
      </c>
      <c r="L10" s="52">
        <v>2</v>
      </c>
      <c r="M10" s="47">
        <f>L10*10</f>
        <v>20</v>
      </c>
      <c r="N10" s="45">
        <v>40</v>
      </c>
      <c r="O10" s="71" t="s">
        <v>211</v>
      </c>
      <c r="P10" s="50">
        <v>2.3900000000000001E-2</v>
      </c>
      <c r="Q10" s="50">
        <f>P10*N10</f>
        <v>0.95600000000000007</v>
      </c>
      <c r="R10" s="46"/>
      <c r="S10" s="53"/>
    </row>
    <row r="11" spans="1:19" ht="15.75" thickBot="1" x14ac:dyDescent="0.3">
      <c r="A11" s="1"/>
      <c r="B11" s="37">
        <f t="shared" ref="B11:B41" si="0">ROW(B11) - ROW($B$9)</f>
        <v>2</v>
      </c>
      <c r="C11" s="70" t="s">
        <v>7</v>
      </c>
      <c r="D11" s="48" t="s">
        <v>21</v>
      </c>
      <c r="E11" s="49" t="s">
        <v>54</v>
      </c>
      <c r="F11" s="48" t="s">
        <v>87</v>
      </c>
      <c r="G11" s="72" t="s">
        <v>111</v>
      </c>
      <c r="H11" s="48" t="s">
        <v>137</v>
      </c>
      <c r="I11" s="48" t="s">
        <v>212</v>
      </c>
      <c r="J11" s="48" t="s">
        <v>213</v>
      </c>
      <c r="K11" s="48" t="s">
        <v>180</v>
      </c>
      <c r="L11" s="48">
        <v>3</v>
      </c>
      <c r="M11" s="48">
        <f t="shared" ref="M11:M41" si="1">L11*10</f>
        <v>30</v>
      </c>
      <c r="N11" s="48">
        <v>100</v>
      </c>
      <c r="O11" s="73" t="s">
        <v>211</v>
      </c>
      <c r="P11" s="51">
        <v>8.0000000000000004E-4</v>
      </c>
      <c r="Q11" s="51">
        <f t="shared" ref="Q11:Q41" si="2">P11*N11</f>
        <v>0.08</v>
      </c>
      <c r="R11" s="49"/>
      <c r="S11" s="54"/>
    </row>
    <row r="12" spans="1:19" ht="15.75" thickBot="1" x14ac:dyDescent="0.3">
      <c r="A12" s="1"/>
      <c r="B12" s="37">
        <f>ROW(B12) - ROW($B$9)</f>
        <v>3</v>
      </c>
      <c r="C12" s="69" t="s">
        <v>7</v>
      </c>
      <c r="D12" s="45" t="s">
        <v>22</v>
      </c>
      <c r="E12" s="46" t="s">
        <v>55</v>
      </c>
      <c r="F12" s="45" t="s">
        <v>88</v>
      </c>
      <c r="G12" s="46" t="s">
        <v>112</v>
      </c>
      <c r="H12" s="45" t="s">
        <v>138</v>
      </c>
      <c r="I12" s="45" t="s">
        <v>202</v>
      </c>
      <c r="J12" s="45" t="s">
        <v>157</v>
      </c>
      <c r="K12" s="45" t="s">
        <v>181</v>
      </c>
      <c r="L12" s="45">
        <v>1</v>
      </c>
      <c r="M12" s="45">
        <f t="shared" si="1"/>
        <v>10</v>
      </c>
      <c r="N12" s="45">
        <v>100</v>
      </c>
      <c r="O12" s="71" t="s">
        <v>211</v>
      </c>
      <c r="P12" s="50">
        <v>4.5999999999999999E-3</v>
      </c>
      <c r="Q12" s="50">
        <f t="shared" si="2"/>
        <v>0.45999999999999996</v>
      </c>
      <c r="R12" s="46"/>
      <c r="S12" s="50"/>
    </row>
    <row r="13" spans="1:19" ht="15.75" thickBot="1" x14ac:dyDescent="0.3">
      <c r="A13" s="1"/>
      <c r="B13" s="37">
        <f t="shared" si="0"/>
        <v>4</v>
      </c>
      <c r="C13" s="70" t="s">
        <v>7</v>
      </c>
      <c r="D13" s="48" t="s">
        <v>23</v>
      </c>
      <c r="E13" s="49" t="s">
        <v>56</v>
      </c>
      <c r="F13" s="48" t="s">
        <v>88</v>
      </c>
      <c r="G13" s="72" t="s">
        <v>113</v>
      </c>
      <c r="H13" s="48" t="s">
        <v>137</v>
      </c>
      <c r="I13" s="48" t="s">
        <v>214</v>
      </c>
      <c r="J13" s="48" t="s">
        <v>215</v>
      </c>
      <c r="K13" s="48" t="s">
        <v>182</v>
      </c>
      <c r="L13" s="48">
        <v>1</v>
      </c>
      <c r="M13" s="48">
        <f t="shared" si="1"/>
        <v>10</v>
      </c>
      <c r="N13" s="48">
        <v>20</v>
      </c>
      <c r="O13" s="73" t="s">
        <v>211</v>
      </c>
      <c r="P13" s="51">
        <v>2.3400000000000001E-2</v>
      </c>
      <c r="Q13" s="51">
        <f t="shared" si="2"/>
        <v>0.46800000000000003</v>
      </c>
      <c r="R13" s="49"/>
      <c r="S13" s="51"/>
    </row>
    <row r="14" spans="1:19" ht="15.75" thickBot="1" x14ac:dyDescent="0.3">
      <c r="A14" s="1"/>
      <c r="B14" s="37">
        <f>ROW(B14) - ROW($B$9)</f>
        <v>5</v>
      </c>
      <c r="C14" s="69" t="s">
        <v>7</v>
      </c>
      <c r="D14" s="45" t="s">
        <v>24</v>
      </c>
      <c r="E14" s="46" t="s">
        <v>57</v>
      </c>
      <c r="F14" s="45" t="s">
        <v>89</v>
      </c>
      <c r="G14" s="46" t="s">
        <v>114</v>
      </c>
      <c r="H14" s="45" t="s">
        <v>138</v>
      </c>
      <c r="I14" s="45" t="s">
        <v>202</v>
      </c>
      <c r="J14" s="45" t="s">
        <v>158</v>
      </c>
      <c r="K14" s="45" t="s">
        <v>183</v>
      </c>
      <c r="L14" s="45">
        <v>1</v>
      </c>
      <c r="M14" s="45">
        <f t="shared" si="1"/>
        <v>10</v>
      </c>
      <c r="N14" s="45">
        <v>50</v>
      </c>
      <c r="O14" s="71" t="s">
        <v>211</v>
      </c>
      <c r="P14" s="50">
        <v>1.5599999999999999E-2</v>
      </c>
      <c r="Q14" s="50">
        <f t="shared" si="2"/>
        <v>0.77999999999999992</v>
      </c>
      <c r="R14" s="46"/>
      <c r="S14" s="50"/>
    </row>
    <row r="15" spans="1:19" ht="15.75" thickBot="1" x14ac:dyDescent="0.3">
      <c r="A15" s="1"/>
      <c r="B15" s="37">
        <f t="shared" si="0"/>
        <v>6</v>
      </c>
      <c r="C15" s="70" t="s">
        <v>7</v>
      </c>
      <c r="D15" s="48" t="s">
        <v>25</v>
      </c>
      <c r="E15" s="49" t="s">
        <v>58</v>
      </c>
      <c r="F15" s="48" t="s">
        <v>87</v>
      </c>
      <c r="G15" s="49" t="s">
        <v>202</v>
      </c>
      <c r="H15" s="48" t="s">
        <v>202</v>
      </c>
      <c r="I15" s="49" t="s">
        <v>202</v>
      </c>
      <c r="J15" s="48" t="s">
        <v>202</v>
      </c>
      <c r="K15" s="48" t="s">
        <v>202</v>
      </c>
      <c r="L15" s="48">
        <v>2</v>
      </c>
      <c r="M15" s="48">
        <f t="shared" si="1"/>
        <v>20</v>
      </c>
      <c r="N15" s="49" t="s">
        <v>202</v>
      </c>
      <c r="O15" s="48" t="s">
        <v>202</v>
      </c>
      <c r="P15" s="49" t="s">
        <v>202</v>
      </c>
      <c r="Q15" s="51" t="e">
        <f t="shared" si="2"/>
        <v>#VALUE!</v>
      </c>
      <c r="R15" s="49" t="s">
        <v>202</v>
      </c>
      <c r="S15" s="48" t="s">
        <v>202</v>
      </c>
    </row>
    <row r="16" spans="1:19" ht="15.75" thickBot="1" x14ac:dyDescent="0.3">
      <c r="A16" s="1"/>
      <c r="B16" s="37">
        <f>ROW(B16) - ROW($B$9)</f>
        <v>7</v>
      </c>
      <c r="C16" s="69" t="s">
        <v>7</v>
      </c>
      <c r="D16" s="45" t="s">
        <v>26</v>
      </c>
      <c r="E16" s="46" t="s">
        <v>59</v>
      </c>
      <c r="F16" s="45" t="s">
        <v>87</v>
      </c>
      <c r="G16" s="46" t="s">
        <v>115</v>
      </c>
      <c r="H16" s="45" t="s">
        <v>138</v>
      </c>
      <c r="I16" s="45" t="s">
        <v>202</v>
      </c>
      <c r="J16" s="45" t="s">
        <v>159</v>
      </c>
      <c r="K16" s="45" t="s">
        <v>181</v>
      </c>
      <c r="L16" s="45">
        <v>1</v>
      </c>
      <c r="M16" s="45">
        <f t="shared" si="1"/>
        <v>10</v>
      </c>
      <c r="N16" s="45">
        <v>100</v>
      </c>
      <c r="O16" s="71" t="s">
        <v>211</v>
      </c>
      <c r="P16" s="50">
        <v>2E-3</v>
      </c>
      <c r="Q16" s="50">
        <f t="shared" si="2"/>
        <v>0.2</v>
      </c>
      <c r="R16" s="46"/>
      <c r="S16" s="50"/>
    </row>
    <row r="17" spans="1:19" ht="15.75" thickBot="1" x14ac:dyDescent="0.3">
      <c r="A17" s="1"/>
      <c r="B17" s="37">
        <f t="shared" si="0"/>
        <v>8</v>
      </c>
      <c r="C17" s="70" t="s">
        <v>7</v>
      </c>
      <c r="D17" s="48" t="s">
        <v>27</v>
      </c>
      <c r="E17" s="49" t="s">
        <v>60</v>
      </c>
      <c r="F17" s="48" t="s">
        <v>87</v>
      </c>
      <c r="G17" s="49" t="s">
        <v>116</v>
      </c>
      <c r="H17" s="48" t="s">
        <v>138</v>
      </c>
      <c r="I17" s="48" t="s">
        <v>202</v>
      </c>
      <c r="J17" s="48" t="s">
        <v>160</v>
      </c>
      <c r="K17" s="48" t="s">
        <v>184</v>
      </c>
      <c r="L17" s="48">
        <v>1</v>
      </c>
      <c r="M17" s="48">
        <f t="shared" si="1"/>
        <v>10</v>
      </c>
      <c r="N17" s="48">
        <v>50</v>
      </c>
      <c r="O17" s="73" t="s">
        <v>211</v>
      </c>
      <c r="P17" s="51">
        <v>1.3899999999999999E-2</v>
      </c>
      <c r="Q17" s="51">
        <f t="shared" si="2"/>
        <v>0.69499999999999995</v>
      </c>
      <c r="R17" s="49"/>
      <c r="S17" s="51"/>
    </row>
    <row r="18" spans="1:19" ht="24.75" thickBot="1" x14ac:dyDescent="0.3">
      <c r="A18" s="1"/>
      <c r="B18" s="37">
        <f>ROW(B18) - ROW($B$9)</f>
        <v>9</v>
      </c>
      <c r="C18" s="69" t="s">
        <v>206</v>
      </c>
      <c r="D18" s="45" t="s">
        <v>28</v>
      </c>
      <c r="E18" s="46" t="s">
        <v>61</v>
      </c>
      <c r="F18" s="45" t="s">
        <v>90</v>
      </c>
      <c r="G18" s="46" t="s">
        <v>117</v>
      </c>
      <c r="H18" s="45" t="s">
        <v>139</v>
      </c>
      <c r="I18" s="45" t="s">
        <v>202</v>
      </c>
      <c r="J18" s="45" t="s">
        <v>161</v>
      </c>
      <c r="K18" s="45" t="s">
        <v>202</v>
      </c>
      <c r="L18" s="45">
        <v>1</v>
      </c>
      <c r="M18" s="45">
        <f t="shared" si="1"/>
        <v>10</v>
      </c>
      <c r="N18" s="45">
        <v>15</v>
      </c>
      <c r="O18" s="71" t="s">
        <v>211</v>
      </c>
      <c r="P18" s="50">
        <v>6.54E-2</v>
      </c>
      <c r="Q18" s="50">
        <f t="shared" si="2"/>
        <v>0.98099999999999998</v>
      </c>
      <c r="R18" s="46"/>
      <c r="S18" s="50"/>
    </row>
    <row r="19" spans="1:19" ht="24.75" thickBot="1" x14ac:dyDescent="0.3">
      <c r="A19" s="1"/>
      <c r="B19" s="37">
        <f t="shared" si="0"/>
        <v>10</v>
      </c>
      <c r="C19" s="70" t="s">
        <v>8</v>
      </c>
      <c r="D19" s="48" t="s">
        <v>29</v>
      </c>
      <c r="E19" s="49" t="s">
        <v>62</v>
      </c>
      <c r="F19" s="48" t="s">
        <v>91</v>
      </c>
      <c r="G19" s="49" t="s">
        <v>118</v>
      </c>
      <c r="H19" s="48" t="s">
        <v>140</v>
      </c>
      <c r="I19" s="48" t="s">
        <v>202</v>
      </c>
      <c r="J19" s="48" t="s">
        <v>162</v>
      </c>
      <c r="K19" s="48" t="s">
        <v>202</v>
      </c>
      <c r="L19" s="48">
        <v>1</v>
      </c>
      <c r="M19" s="48">
        <f t="shared" si="1"/>
        <v>10</v>
      </c>
      <c r="N19" s="48">
        <v>15</v>
      </c>
      <c r="O19" s="73" t="s">
        <v>211</v>
      </c>
      <c r="P19" s="51">
        <v>7.1599999999999997E-2</v>
      </c>
      <c r="Q19" s="51">
        <f t="shared" si="2"/>
        <v>1.0739999999999998</v>
      </c>
      <c r="R19" s="49"/>
      <c r="S19" s="51"/>
    </row>
    <row r="20" spans="1:19" ht="15.75" thickBot="1" x14ac:dyDescent="0.3">
      <c r="A20" s="1"/>
      <c r="B20" s="37">
        <f>ROW(B20) - ROW($B$9)</f>
        <v>11</v>
      </c>
      <c r="C20" s="69" t="s">
        <v>207</v>
      </c>
      <c r="D20" s="45" t="s">
        <v>30</v>
      </c>
      <c r="E20" s="46" t="s">
        <v>63</v>
      </c>
      <c r="F20" s="45" t="s">
        <v>203</v>
      </c>
      <c r="G20" s="45" t="s">
        <v>92</v>
      </c>
      <c r="H20" s="45"/>
      <c r="I20" s="45"/>
      <c r="J20" s="45"/>
      <c r="K20" s="45" t="s">
        <v>202</v>
      </c>
      <c r="L20" s="45">
        <v>1</v>
      </c>
      <c r="M20" s="45">
        <f t="shared" si="1"/>
        <v>10</v>
      </c>
      <c r="N20" s="45"/>
      <c r="O20" s="45"/>
      <c r="P20" s="50"/>
      <c r="Q20" s="50">
        <f t="shared" si="2"/>
        <v>0</v>
      </c>
      <c r="R20" s="46"/>
      <c r="S20" s="50"/>
    </row>
    <row r="21" spans="1:19" ht="24.75" thickBot="1" x14ac:dyDescent="0.3">
      <c r="A21" s="1"/>
      <c r="B21" s="37">
        <f t="shared" si="0"/>
        <v>12</v>
      </c>
      <c r="C21" s="70" t="s">
        <v>208</v>
      </c>
      <c r="D21" s="48" t="s">
        <v>31</v>
      </c>
      <c r="E21" s="49" t="s">
        <v>64</v>
      </c>
      <c r="F21" s="48" t="s">
        <v>203</v>
      </c>
      <c r="G21" s="49" t="s">
        <v>119</v>
      </c>
      <c r="H21" s="48" t="s">
        <v>141</v>
      </c>
      <c r="I21" s="48" t="s">
        <v>202</v>
      </c>
      <c r="J21" s="48" t="s">
        <v>163</v>
      </c>
      <c r="K21" s="48" t="s">
        <v>202</v>
      </c>
      <c r="L21" s="48">
        <v>1</v>
      </c>
      <c r="M21" s="48">
        <f t="shared" si="1"/>
        <v>10</v>
      </c>
      <c r="N21" s="48">
        <v>15</v>
      </c>
      <c r="O21" s="73" t="s">
        <v>211</v>
      </c>
      <c r="P21" s="51">
        <v>0.2276</v>
      </c>
      <c r="Q21" s="51">
        <f t="shared" si="2"/>
        <v>3.4140000000000001</v>
      </c>
      <c r="R21" s="49"/>
      <c r="S21" s="51"/>
    </row>
    <row r="22" spans="1:19" ht="15.75" thickBot="1" x14ac:dyDescent="0.3">
      <c r="A22" s="1"/>
      <c r="B22" s="37">
        <f>ROW(B22) - ROW($B$9)</f>
        <v>13</v>
      </c>
      <c r="C22" s="69" t="s">
        <v>9</v>
      </c>
      <c r="D22" s="45" t="s">
        <v>32</v>
      </c>
      <c r="E22" s="46" t="s">
        <v>65</v>
      </c>
      <c r="F22" s="45" t="s">
        <v>203</v>
      </c>
      <c r="G22" s="46" t="s">
        <v>93</v>
      </c>
      <c r="H22" s="45" t="s">
        <v>142</v>
      </c>
      <c r="I22" s="45" t="s">
        <v>202</v>
      </c>
      <c r="J22" s="45" t="s">
        <v>164</v>
      </c>
      <c r="K22" s="45" t="s">
        <v>202</v>
      </c>
      <c r="L22" s="45">
        <v>1</v>
      </c>
      <c r="M22" s="45">
        <f t="shared" si="1"/>
        <v>10</v>
      </c>
      <c r="N22" s="45">
        <v>12</v>
      </c>
      <c r="O22" s="71" t="s">
        <v>211</v>
      </c>
      <c r="P22" s="50">
        <v>0.129</v>
      </c>
      <c r="Q22" s="50">
        <f t="shared" si="2"/>
        <v>1.548</v>
      </c>
      <c r="R22" s="46"/>
      <c r="S22" s="50"/>
    </row>
    <row r="23" spans="1:19" ht="36.75" thickBot="1" x14ac:dyDescent="0.3">
      <c r="A23" s="1"/>
      <c r="B23" s="37">
        <f t="shared" si="0"/>
        <v>14</v>
      </c>
      <c r="C23" s="70" t="s">
        <v>10</v>
      </c>
      <c r="D23" s="48" t="s">
        <v>33</v>
      </c>
      <c r="E23" s="49" t="s">
        <v>66</v>
      </c>
      <c r="F23" s="48" t="s">
        <v>203</v>
      </c>
      <c r="G23" s="49" t="s">
        <v>94</v>
      </c>
      <c r="H23" s="48" t="s">
        <v>143</v>
      </c>
      <c r="I23" s="48" t="s">
        <v>202</v>
      </c>
      <c r="J23" s="48" t="s">
        <v>165</v>
      </c>
      <c r="K23" s="48" t="s">
        <v>202</v>
      </c>
      <c r="L23" s="48">
        <v>10</v>
      </c>
      <c r="M23" s="48">
        <f t="shared" si="1"/>
        <v>100</v>
      </c>
      <c r="N23" s="48">
        <v>105</v>
      </c>
      <c r="O23" s="73" t="s">
        <v>211</v>
      </c>
      <c r="P23" s="51">
        <v>0.25779999999999997</v>
      </c>
      <c r="Q23" s="51">
        <f t="shared" si="2"/>
        <v>27.068999999999996</v>
      </c>
      <c r="R23" s="49"/>
      <c r="S23" s="51"/>
    </row>
    <row r="24" spans="1:19" ht="24.75" thickBot="1" x14ac:dyDescent="0.3">
      <c r="A24" s="1"/>
      <c r="B24" s="37">
        <f>ROW(B24) - ROW($B$9)</f>
        <v>15</v>
      </c>
      <c r="C24" s="69" t="s">
        <v>11</v>
      </c>
      <c r="D24" s="45" t="s">
        <v>34</v>
      </c>
      <c r="E24" s="46" t="s">
        <v>67</v>
      </c>
      <c r="F24" s="45" t="s">
        <v>95</v>
      </c>
      <c r="G24" s="46" t="s">
        <v>120</v>
      </c>
      <c r="H24" s="45" t="s">
        <v>144</v>
      </c>
      <c r="I24" s="45" t="s">
        <v>202</v>
      </c>
      <c r="J24" s="45" t="s">
        <v>166</v>
      </c>
      <c r="K24" s="45" t="s">
        <v>202</v>
      </c>
      <c r="L24" s="45">
        <v>10</v>
      </c>
      <c r="M24" s="45">
        <f t="shared" si="1"/>
        <v>100</v>
      </c>
      <c r="N24" s="45">
        <v>110</v>
      </c>
      <c r="O24" s="71" t="s">
        <v>211</v>
      </c>
      <c r="P24" s="50">
        <v>6.7900000000000002E-2</v>
      </c>
      <c r="Q24" s="50">
        <f t="shared" si="2"/>
        <v>7.4690000000000003</v>
      </c>
      <c r="R24" s="46"/>
      <c r="S24" s="50"/>
    </row>
    <row r="25" spans="1:19" ht="24.75" thickBot="1" x14ac:dyDescent="0.3">
      <c r="A25" s="1"/>
      <c r="B25" s="37">
        <f t="shared" si="0"/>
        <v>16</v>
      </c>
      <c r="C25" s="70" t="s">
        <v>9</v>
      </c>
      <c r="D25" s="48" t="s">
        <v>35</v>
      </c>
      <c r="E25" s="49" t="s">
        <v>68</v>
      </c>
      <c r="F25" s="48" t="s">
        <v>203</v>
      </c>
      <c r="G25" s="49" t="s">
        <v>96</v>
      </c>
      <c r="H25" s="48" t="s">
        <v>142</v>
      </c>
      <c r="I25" s="48"/>
      <c r="J25" s="48" t="s">
        <v>167</v>
      </c>
      <c r="K25" s="48" t="s">
        <v>202</v>
      </c>
      <c r="L25" s="48">
        <v>11</v>
      </c>
      <c r="M25" s="48">
        <f t="shared" si="1"/>
        <v>110</v>
      </c>
      <c r="N25" s="48">
        <v>120</v>
      </c>
      <c r="O25" s="73" t="s">
        <v>211</v>
      </c>
      <c r="P25" s="51">
        <v>9.9199999999999997E-2</v>
      </c>
      <c r="Q25" s="51">
        <f t="shared" si="2"/>
        <v>11.904</v>
      </c>
      <c r="R25" s="49"/>
      <c r="S25" s="51"/>
    </row>
    <row r="26" spans="1:19" ht="15.75" thickBot="1" x14ac:dyDescent="0.3">
      <c r="A26" s="1"/>
      <c r="B26" s="37">
        <f>ROW(B26) - ROW($B$9)</f>
        <v>17</v>
      </c>
      <c r="C26" s="69" t="s">
        <v>210</v>
      </c>
      <c r="D26" s="45" t="s">
        <v>36</v>
      </c>
      <c r="E26" s="46" t="s">
        <v>69</v>
      </c>
      <c r="F26" s="45" t="s">
        <v>203</v>
      </c>
      <c r="G26" s="45" t="s">
        <v>97</v>
      </c>
      <c r="H26" s="45" t="s">
        <v>202</v>
      </c>
      <c r="I26" s="45" t="s">
        <v>202</v>
      </c>
      <c r="J26" s="45" t="s">
        <v>202</v>
      </c>
      <c r="K26" s="45" t="s">
        <v>202</v>
      </c>
      <c r="L26" s="45">
        <v>4</v>
      </c>
      <c r="M26" s="45">
        <f t="shared" si="1"/>
        <v>40</v>
      </c>
      <c r="N26" s="45" t="s">
        <v>202</v>
      </c>
      <c r="O26" s="45" t="s">
        <v>202</v>
      </c>
      <c r="P26" s="50" t="s">
        <v>202</v>
      </c>
      <c r="Q26" s="50" t="s">
        <v>202</v>
      </c>
      <c r="R26" s="46"/>
      <c r="S26" s="50"/>
    </row>
    <row r="27" spans="1:19" ht="24.75" thickBot="1" x14ac:dyDescent="0.3">
      <c r="A27" s="1"/>
      <c r="B27" s="37">
        <f t="shared" si="0"/>
        <v>18</v>
      </c>
      <c r="C27" s="70" t="s">
        <v>209</v>
      </c>
      <c r="D27" s="48" t="s">
        <v>37</v>
      </c>
      <c r="E27" s="49" t="s">
        <v>70</v>
      </c>
      <c r="F27" s="48" t="s">
        <v>98</v>
      </c>
      <c r="G27" s="49" t="s">
        <v>121</v>
      </c>
      <c r="H27" s="48" t="s">
        <v>145</v>
      </c>
      <c r="I27" s="48" t="s">
        <v>202</v>
      </c>
      <c r="J27" s="48" t="s">
        <v>168</v>
      </c>
      <c r="K27" s="48" t="s">
        <v>202</v>
      </c>
      <c r="L27" s="48">
        <v>1</v>
      </c>
      <c r="M27" s="48">
        <f t="shared" si="1"/>
        <v>10</v>
      </c>
      <c r="N27" s="48">
        <v>15</v>
      </c>
      <c r="O27" s="73" t="s">
        <v>211</v>
      </c>
      <c r="P27" s="51">
        <v>6.7400000000000002E-2</v>
      </c>
      <c r="Q27" s="51">
        <f t="shared" si="2"/>
        <v>1.0110000000000001</v>
      </c>
      <c r="R27" s="49"/>
      <c r="S27" s="51"/>
    </row>
    <row r="28" spans="1:19" ht="24.75" thickBot="1" x14ac:dyDescent="0.3">
      <c r="A28" s="1"/>
      <c r="B28" s="37">
        <f>ROW(B28) - ROW($B$9)</f>
        <v>19</v>
      </c>
      <c r="C28" s="69" t="s">
        <v>209</v>
      </c>
      <c r="D28" s="45" t="s">
        <v>38</v>
      </c>
      <c r="E28" s="46" t="s">
        <v>71</v>
      </c>
      <c r="F28" s="45" t="s">
        <v>98</v>
      </c>
      <c r="G28" s="46" t="s">
        <v>122</v>
      </c>
      <c r="H28" s="45" t="s">
        <v>146</v>
      </c>
      <c r="I28" s="45" t="s">
        <v>202</v>
      </c>
      <c r="J28" s="45" t="s">
        <v>169</v>
      </c>
      <c r="K28" s="45" t="s">
        <v>202</v>
      </c>
      <c r="L28" s="45">
        <v>1</v>
      </c>
      <c r="M28" s="45">
        <f t="shared" si="1"/>
        <v>10</v>
      </c>
      <c r="N28" s="45">
        <v>50</v>
      </c>
      <c r="O28" s="71" t="s">
        <v>211</v>
      </c>
      <c r="P28" s="50">
        <v>1.47E-2</v>
      </c>
      <c r="Q28" s="50">
        <f t="shared" si="2"/>
        <v>0.73499999999999999</v>
      </c>
      <c r="R28" s="46"/>
      <c r="S28" s="50"/>
    </row>
    <row r="29" spans="1:19" ht="24.75" thickBot="1" x14ac:dyDescent="0.3">
      <c r="A29" s="1"/>
      <c r="B29" s="37">
        <f t="shared" si="0"/>
        <v>20</v>
      </c>
      <c r="C29" s="70" t="s">
        <v>13</v>
      </c>
      <c r="D29" s="48" t="s">
        <v>39</v>
      </c>
      <c r="E29" s="49" t="s">
        <v>72</v>
      </c>
      <c r="F29" s="48" t="s">
        <v>99</v>
      </c>
      <c r="G29" s="49" t="s">
        <v>123</v>
      </c>
      <c r="H29" s="48" t="s">
        <v>147</v>
      </c>
      <c r="I29" s="48"/>
      <c r="J29" s="48" t="s">
        <v>170</v>
      </c>
      <c r="K29" s="48" t="s">
        <v>185</v>
      </c>
      <c r="L29" s="48">
        <v>6</v>
      </c>
      <c r="M29" s="48">
        <f t="shared" si="1"/>
        <v>60</v>
      </c>
      <c r="N29" s="48"/>
      <c r="O29" s="48"/>
      <c r="P29" s="51"/>
      <c r="Q29" s="51">
        <f t="shared" si="2"/>
        <v>0</v>
      </c>
      <c r="R29" s="49"/>
      <c r="S29" s="51"/>
    </row>
    <row r="30" spans="1:19" ht="36.75" thickBot="1" x14ac:dyDescent="0.3">
      <c r="A30" s="1"/>
      <c r="B30" s="37">
        <f>ROW(B30) - ROW($B$9)</f>
        <v>21</v>
      </c>
      <c r="C30" s="69" t="s">
        <v>12</v>
      </c>
      <c r="D30" s="45" t="s">
        <v>40</v>
      </c>
      <c r="E30" s="46" t="s">
        <v>73</v>
      </c>
      <c r="F30" s="45" t="s">
        <v>100</v>
      </c>
      <c r="G30" s="46" t="s">
        <v>124</v>
      </c>
      <c r="H30" s="45" t="s">
        <v>148</v>
      </c>
      <c r="I30" s="45" t="s">
        <v>202</v>
      </c>
      <c r="J30" s="45" t="s">
        <v>171</v>
      </c>
      <c r="K30" s="45" t="s">
        <v>186</v>
      </c>
      <c r="L30" s="45">
        <v>3</v>
      </c>
      <c r="M30" s="45">
        <f t="shared" si="1"/>
        <v>30</v>
      </c>
      <c r="N30" s="45">
        <v>100</v>
      </c>
      <c r="O30" s="71" t="s">
        <v>211</v>
      </c>
      <c r="P30" s="50">
        <v>6.4000000000000003E-3</v>
      </c>
      <c r="Q30" s="50">
        <f t="shared" si="2"/>
        <v>0.64</v>
      </c>
      <c r="R30" s="46"/>
      <c r="S30" s="50"/>
    </row>
    <row r="31" spans="1:19" ht="15.75" thickBot="1" x14ac:dyDescent="0.3">
      <c r="A31" s="1"/>
      <c r="B31" s="37">
        <f t="shared" si="0"/>
        <v>22</v>
      </c>
      <c r="C31" s="70" t="s">
        <v>13</v>
      </c>
      <c r="D31" s="48" t="s">
        <v>41</v>
      </c>
      <c r="E31" s="49" t="s">
        <v>74</v>
      </c>
      <c r="F31" s="48" t="s">
        <v>101</v>
      </c>
      <c r="G31" s="49" t="s">
        <v>125</v>
      </c>
      <c r="H31" s="48" t="s">
        <v>149</v>
      </c>
      <c r="I31" s="48" t="s">
        <v>202</v>
      </c>
      <c r="J31" s="48" t="s">
        <v>172</v>
      </c>
      <c r="K31" s="48" t="s">
        <v>187</v>
      </c>
      <c r="L31" s="48">
        <v>3</v>
      </c>
      <c r="M31" s="48">
        <f t="shared" si="1"/>
        <v>30</v>
      </c>
      <c r="N31" s="48">
        <v>50</v>
      </c>
      <c r="O31" s="73" t="s">
        <v>211</v>
      </c>
      <c r="P31" s="51">
        <v>7.7999999999999996E-3</v>
      </c>
      <c r="Q31" s="51">
        <f t="shared" si="2"/>
        <v>0.38999999999999996</v>
      </c>
      <c r="R31" s="49"/>
      <c r="S31" s="51"/>
    </row>
    <row r="32" spans="1:19" ht="15.75" thickBot="1" x14ac:dyDescent="0.3">
      <c r="A32" s="1"/>
      <c r="B32" s="37">
        <f>ROW(B32) - ROW($B$9)</f>
        <v>23</v>
      </c>
      <c r="C32" s="69" t="s">
        <v>13</v>
      </c>
      <c r="D32" s="45" t="s">
        <v>42</v>
      </c>
      <c r="E32" s="46" t="s">
        <v>75</v>
      </c>
      <c r="F32" s="45" t="s">
        <v>101</v>
      </c>
      <c r="G32" s="74" t="s">
        <v>126</v>
      </c>
      <c r="H32" s="45" t="s">
        <v>149</v>
      </c>
      <c r="I32" s="45" t="s">
        <v>217</v>
      </c>
      <c r="J32" s="45" t="s">
        <v>216</v>
      </c>
      <c r="K32" s="45" t="s">
        <v>188</v>
      </c>
      <c r="L32" s="45">
        <v>2</v>
      </c>
      <c r="M32" s="45">
        <f t="shared" si="1"/>
        <v>20</v>
      </c>
      <c r="N32" s="45">
        <v>100</v>
      </c>
      <c r="O32" s="71" t="s">
        <v>211</v>
      </c>
      <c r="P32" s="50">
        <v>5.0000000000000001E-4</v>
      </c>
      <c r="Q32" s="50">
        <f t="shared" si="2"/>
        <v>0.05</v>
      </c>
      <c r="R32" s="46"/>
      <c r="S32" s="50"/>
    </row>
    <row r="33" spans="1:19" ht="15.75" thickBot="1" x14ac:dyDescent="0.3">
      <c r="A33" s="1"/>
      <c r="B33" s="37">
        <f t="shared" si="0"/>
        <v>24</v>
      </c>
      <c r="C33" s="70" t="s">
        <v>13</v>
      </c>
      <c r="D33" s="48" t="s">
        <v>43</v>
      </c>
      <c r="E33" s="49" t="s">
        <v>76</v>
      </c>
      <c r="F33" s="48" t="s">
        <v>102</v>
      </c>
      <c r="G33" s="49" t="s">
        <v>127</v>
      </c>
      <c r="H33" s="48" t="s">
        <v>138</v>
      </c>
      <c r="I33" s="48" t="s">
        <v>202</v>
      </c>
      <c r="J33" s="48" t="s">
        <v>173</v>
      </c>
      <c r="K33" s="48" t="s">
        <v>189</v>
      </c>
      <c r="L33" s="48">
        <v>1</v>
      </c>
      <c r="M33" s="48">
        <f t="shared" si="1"/>
        <v>10</v>
      </c>
      <c r="N33" s="48">
        <v>100</v>
      </c>
      <c r="O33" s="73" t="s">
        <v>211</v>
      </c>
      <c r="P33" s="51">
        <v>1.4E-3</v>
      </c>
      <c r="Q33" s="51">
        <f t="shared" si="2"/>
        <v>0.13999999999999999</v>
      </c>
      <c r="R33" s="49"/>
      <c r="S33" s="51"/>
    </row>
    <row r="34" spans="1:19" ht="15.75" thickBot="1" x14ac:dyDescent="0.3">
      <c r="A34" s="1"/>
      <c r="B34" s="37">
        <f>ROW(B34) - ROW($B$9)</f>
        <v>25</v>
      </c>
      <c r="C34" s="69" t="s">
        <v>13</v>
      </c>
      <c r="D34" s="45" t="s">
        <v>44</v>
      </c>
      <c r="E34" s="46" t="s">
        <v>77</v>
      </c>
      <c r="F34" s="45" t="s">
        <v>101</v>
      </c>
      <c r="G34" s="46" t="s">
        <v>128</v>
      </c>
      <c r="H34" s="45" t="s">
        <v>138</v>
      </c>
      <c r="I34" s="45" t="s">
        <v>202</v>
      </c>
      <c r="J34" s="45" t="s">
        <v>218</v>
      </c>
      <c r="K34" s="45" t="s">
        <v>190</v>
      </c>
      <c r="L34" s="45">
        <v>1</v>
      </c>
      <c r="M34" s="45">
        <f t="shared" si="1"/>
        <v>10</v>
      </c>
      <c r="N34" s="45">
        <v>100</v>
      </c>
      <c r="O34" s="71" t="s">
        <v>211</v>
      </c>
      <c r="P34" s="50">
        <v>5.0000000000000001E-4</v>
      </c>
      <c r="Q34" s="50">
        <f t="shared" si="2"/>
        <v>0.05</v>
      </c>
      <c r="R34" s="46"/>
      <c r="S34" s="50"/>
    </row>
    <row r="35" spans="1:19" ht="24.75" thickBot="1" x14ac:dyDescent="0.3">
      <c r="A35" s="1"/>
      <c r="B35" s="37">
        <f t="shared" si="0"/>
        <v>26</v>
      </c>
      <c r="C35" s="70" t="s">
        <v>13</v>
      </c>
      <c r="D35" s="48" t="s">
        <v>45</v>
      </c>
      <c r="E35" s="49" t="s">
        <v>78</v>
      </c>
      <c r="F35" s="48" t="s">
        <v>101</v>
      </c>
      <c r="G35" s="49" t="s">
        <v>129</v>
      </c>
      <c r="H35" s="48" t="s">
        <v>138</v>
      </c>
      <c r="I35" s="48" t="s">
        <v>202</v>
      </c>
      <c r="J35" s="48" t="s">
        <v>219</v>
      </c>
      <c r="K35" s="48" t="s">
        <v>191</v>
      </c>
      <c r="L35" s="48">
        <v>10</v>
      </c>
      <c r="M35" s="48">
        <f t="shared" si="1"/>
        <v>100</v>
      </c>
      <c r="N35" s="48">
        <v>200</v>
      </c>
      <c r="O35" s="73" t="s">
        <v>211</v>
      </c>
      <c r="P35" s="51">
        <v>6.9999999999999999E-4</v>
      </c>
      <c r="Q35" s="51">
        <f t="shared" si="2"/>
        <v>0.13999999999999999</v>
      </c>
      <c r="R35" s="49"/>
      <c r="S35" s="51"/>
    </row>
    <row r="36" spans="1:19" ht="60.75" thickBot="1" x14ac:dyDescent="0.3">
      <c r="A36" s="1"/>
      <c r="B36" s="37">
        <f>ROW(B36) - ROW($B$9)</f>
        <v>27</v>
      </c>
      <c r="C36" s="69" t="s">
        <v>14</v>
      </c>
      <c r="D36" s="45" t="s">
        <v>46</v>
      </c>
      <c r="E36" s="46" t="s">
        <v>79</v>
      </c>
      <c r="F36" s="45" t="s">
        <v>203</v>
      </c>
      <c r="G36" s="46" t="s">
        <v>103</v>
      </c>
      <c r="H36" s="45" t="s">
        <v>150</v>
      </c>
      <c r="I36" s="45" t="s">
        <v>202</v>
      </c>
      <c r="J36" s="45" t="s">
        <v>174</v>
      </c>
      <c r="K36" s="45" t="s">
        <v>202</v>
      </c>
      <c r="L36" s="45">
        <v>1</v>
      </c>
      <c r="M36" s="45">
        <f t="shared" si="1"/>
        <v>10</v>
      </c>
      <c r="N36" s="45">
        <v>20</v>
      </c>
      <c r="O36" s="71" t="s">
        <v>211</v>
      </c>
      <c r="P36" s="50">
        <v>1.7999999999999999E-2</v>
      </c>
      <c r="Q36" s="50">
        <f t="shared" si="2"/>
        <v>0.36</v>
      </c>
      <c r="R36" s="46"/>
      <c r="S36" s="50"/>
    </row>
    <row r="37" spans="1:19" ht="15.75" thickBot="1" x14ac:dyDescent="0.3">
      <c r="A37" s="1"/>
      <c r="B37" s="37">
        <f t="shared" si="0"/>
        <v>28</v>
      </c>
      <c r="C37" s="70" t="s">
        <v>15</v>
      </c>
      <c r="D37" s="48" t="s">
        <v>47</v>
      </c>
      <c r="E37" s="49" t="s">
        <v>80</v>
      </c>
      <c r="F37" s="48" t="s">
        <v>104</v>
      </c>
      <c r="G37" s="49" t="s">
        <v>130</v>
      </c>
      <c r="H37" s="48" t="s">
        <v>151</v>
      </c>
      <c r="I37" s="48" t="s">
        <v>202</v>
      </c>
      <c r="J37" s="48" t="s">
        <v>175</v>
      </c>
      <c r="K37" s="48" t="s">
        <v>202</v>
      </c>
      <c r="L37" s="48">
        <v>1</v>
      </c>
      <c r="M37" s="48">
        <f t="shared" si="1"/>
        <v>10</v>
      </c>
      <c r="N37" s="48">
        <v>11</v>
      </c>
      <c r="O37" s="73" t="s">
        <v>211</v>
      </c>
      <c r="P37" s="51">
        <v>3.3553000000000002</v>
      </c>
      <c r="Q37" s="51">
        <f t="shared" si="2"/>
        <v>36.908300000000004</v>
      </c>
      <c r="R37" s="49"/>
      <c r="S37" s="51"/>
    </row>
    <row r="38" spans="1:19" ht="30.75" thickBot="1" x14ac:dyDescent="0.3">
      <c r="A38" s="1"/>
      <c r="B38" s="37">
        <f>ROW(B38) - ROW($B$9)</f>
        <v>29</v>
      </c>
      <c r="C38" s="69" t="s">
        <v>16</v>
      </c>
      <c r="D38" s="45" t="s">
        <v>48</v>
      </c>
      <c r="E38" s="46" t="s">
        <v>81</v>
      </c>
      <c r="F38" s="45" t="s">
        <v>105</v>
      </c>
      <c r="G38" s="46" t="s">
        <v>131</v>
      </c>
      <c r="H38" s="45" t="s">
        <v>152</v>
      </c>
      <c r="I38" s="45" t="s">
        <v>202</v>
      </c>
      <c r="J38" s="45" t="s">
        <v>176</v>
      </c>
      <c r="K38" s="45" t="s">
        <v>202</v>
      </c>
      <c r="L38" s="45">
        <v>1</v>
      </c>
      <c r="M38" s="45">
        <f t="shared" si="1"/>
        <v>10</v>
      </c>
      <c r="N38" s="45">
        <v>11</v>
      </c>
      <c r="O38" s="71" t="s">
        <v>211</v>
      </c>
      <c r="P38" s="50">
        <v>0.70960000000000001</v>
      </c>
      <c r="Q38" s="50">
        <f t="shared" si="2"/>
        <v>7.8056000000000001</v>
      </c>
      <c r="R38" s="46"/>
      <c r="S38" s="50"/>
    </row>
    <row r="39" spans="1:19" ht="24.75" thickBot="1" x14ac:dyDescent="0.3">
      <c r="A39" s="1"/>
      <c r="B39" s="37">
        <f t="shared" si="0"/>
        <v>30</v>
      </c>
      <c r="C39" s="70" t="s">
        <v>17</v>
      </c>
      <c r="D39" s="48" t="s">
        <v>49</v>
      </c>
      <c r="E39" s="49" t="s">
        <v>82</v>
      </c>
      <c r="F39" s="48" t="s">
        <v>106</v>
      </c>
      <c r="G39" s="49" t="s">
        <v>132</v>
      </c>
      <c r="H39" s="48" t="s">
        <v>153</v>
      </c>
      <c r="I39" s="48" t="s">
        <v>202</v>
      </c>
      <c r="J39" s="48" t="s">
        <v>177</v>
      </c>
      <c r="K39" s="48" t="s">
        <v>202</v>
      </c>
      <c r="L39" s="48">
        <v>10</v>
      </c>
      <c r="M39" s="48">
        <f t="shared" si="1"/>
        <v>100</v>
      </c>
      <c r="N39" s="48">
        <v>105</v>
      </c>
      <c r="O39" s="73" t="s">
        <v>211</v>
      </c>
      <c r="P39" s="51">
        <v>0.11749999999999999</v>
      </c>
      <c r="Q39" s="51">
        <f t="shared" si="2"/>
        <v>12.337499999999999</v>
      </c>
      <c r="R39" s="49"/>
      <c r="S39" s="51"/>
    </row>
    <row r="40" spans="1:19" ht="15.75" thickBot="1" x14ac:dyDescent="0.3">
      <c r="A40" s="1"/>
      <c r="B40" s="37">
        <f>ROW(B40) - ROW($B$9)</f>
        <v>31</v>
      </c>
      <c r="C40" s="69" t="s">
        <v>18</v>
      </c>
      <c r="D40" s="45" t="s">
        <v>50</v>
      </c>
      <c r="E40" s="46" t="s">
        <v>83</v>
      </c>
      <c r="F40" s="45" t="s">
        <v>107</v>
      </c>
      <c r="G40" s="46" t="s">
        <v>133</v>
      </c>
      <c r="H40" s="45" t="s">
        <v>154</v>
      </c>
      <c r="I40" s="45" t="s">
        <v>202</v>
      </c>
      <c r="J40" s="45" t="s">
        <v>178</v>
      </c>
      <c r="K40" s="45" t="s">
        <v>202</v>
      </c>
      <c r="L40" s="45">
        <v>1</v>
      </c>
      <c r="M40" s="45">
        <f t="shared" si="1"/>
        <v>10</v>
      </c>
      <c r="N40" s="45">
        <v>15</v>
      </c>
      <c r="O40" s="71" t="s">
        <v>211</v>
      </c>
      <c r="P40" s="50">
        <v>0.3513</v>
      </c>
      <c r="Q40" s="50">
        <f t="shared" si="2"/>
        <v>5.2694999999999999</v>
      </c>
      <c r="R40" s="46"/>
      <c r="S40" s="50"/>
    </row>
    <row r="41" spans="1:19" ht="15.75" thickBot="1" x14ac:dyDescent="0.3">
      <c r="A41" s="1"/>
      <c r="B41" s="37">
        <f t="shared" si="0"/>
        <v>32</v>
      </c>
      <c r="C41" s="70" t="s">
        <v>18</v>
      </c>
      <c r="D41" s="48" t="s">
        <v>51</v>
      </c>
      <c r="E41" s="49" t="s">
        <v>84</v>
      </c>
      <c r="F41" s="48" t="s">
        <v>108</v>
      </c>
      <c r="G41" s="49" t="s">
        <v>134</v>
      </c>
      <c r="H41" s="48" t="s">
        <v>220</v>
      </c>
      <c r="I41" s="48" t="s">
        <v>202</v>
      </c>
      <c r="J41" s="48" t="s">
        <v>221</v>
      </c>
      <c r="K41" s="48" t="s">
        <v>202</v>
      </c>
      <c r="L41" s="48">
        <v>2</v>
      </c>
      <c r="M41" s="48">
        <f t="shared" si="1"/>
        <v>20</v>
      </c>
      <c r="N41" s="48">
        <v>25</v>
      </c>
      <c r="O41" s="73" t="s">
        <v>211</v>
      </c>
      <c r="P41" s="51">
        <v>8.1199999999999994E-2</v>
      </c>
      <c r="Q41" s="51">
        <f t="shared" si="2"/>
        <v>2.0299999999999998</v>
      </c>
      <c r="R41" s="49"/>
      <c r="S41" s="51"/>
    </row>
    <row r="42" spans="1:19" x14ac:dyDescent="0.25">
      <c r="A42" s="1"/>
      <c r="B42" s="32"/>
      <c r="C42" s="43"/>
      <c r="D42" s="33"/>
      <c r="E42" s="34"/>
      <c r="F42" s="35"/>
      <c r="G42" s="36"/>
      <c r="H42" s="35"/>
      <c r="I42" s="36"/>
      <c r="J42" s="35"/>
      <c r="K42" s="36"/>
      <c r="L42" s="36"/>
      <c r="M42" s="36"/>
      <c r="N42" s="36"/>
      <c r="O42" s="36"/>
      <c r="P42" s="36"/>
      <c r="Q42" s="36"/>
      <c r="R42" s="63"/>
      <c r="S42" s="64"/>
    </row>
    <row r="43" spans="1:19" ht="15.75" thickBot="1" x14ac:dyDescent="0.3">
      <c r="A43" s="1"/>
      <c r="B43" s="25"/>
      <c r="C43" s="44"/>
      <c r="D43" s="9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65"/>
      <c r="S43" s="66"/>
    </row>
  </sheetData>
  <mergeCells count="3">
    <mergeCell ref="K1:S1"/>
    <mergeCell ref="S3:S8"/>
    <mergeCell ref="R42:S43"/>
  </mergeCells>
  <hyperlinks>
    <hyperlink ref="O10" r:id="rId1" xr:uid="{B4B92583-AFC5-4C70-B0C5-E1A2E39FC483}"/>
    <hyperlink ref="O11" r:id="rId2" xr:uid="{44077763-56FC-4A18-B19C-BF7E6FE42CF2}"/>
    <hyperlink ref="O12" r:id="rId3" xr:uid="{02F1C72C-646B-4E69-843C-7B79512658BB}"/>
    <hyperlink ref="O13" r:id="rId4" xr:uid="{9C8DE64B-39DC-4FA5-BC82-70A9347B5CB7}"/>
    <hyperlink ref="O14" r:id="rId5" xr:uid="{B57C6DE4-F114-47CC-A4AE-81250E951A85}"/>
    <hyperlink ref="O16" r:id="rId6" xr:uid="{1033A83E-EF73-44FE-BC7E-01798A863B28}"/>
    <hyperlink ref="O17" r:id="rId7" xr:uid="{43FDAEFF-6403-40D1-9C4E-7D1D36A4547B}"/>
    <hyperlink ref="O18" r:id="rId8" xr:uid="{C6D95856-76AF-4CFB-A4FB-A06F479B4719}"/>
    <hyperlink ref="O19" r:id="rId9" xr:uid="{D31CF805-77DA-485C-A79F-60E569C18A2B}"/>
    <hyperlink ref="O21" r:id="rId10" xr:uid="{2FA3E246-B558-4663-817E-A113191AF2F4}"/>
    <hyperlink ref="O22" r:id="rId11" xr:uid="{4D562C0B-01BB-4743-BEF4-306E01B88197}"/>
    <hyperlink ref="O23" r:id="rId12" xr:uid="{805F7ACB-D787-441E-A591-2AE7335E81B1}"/>
    <hyperlink ref="O24" r:id="rId13" xr:uid="{021899FA-497D-462B-A309-42059B1C785F}"/>
    <hyperlink ref="O25" r:id="rId14" xr:uid="{0C6F7394-A2F7-47BD-9325-771E8DAB4B45}"/>
    <hyperlink ref="O27" r:id="rId15" xr:uid="{FEA5DC77-A5A9-4599-B4FE-89EA64A3C261}"/>
    <hyperlink ref="O28" r:id="rId16" xr:uid="{C6504500-546C-423F-893B-28D6DA42E4F7}"/>
    <hyperlink ref="O30" r:id="rId17" xr:uid="{ADA5B89D-EF9A-427B-86ED-25ECFD2C1BEB}"/>
    <hyperlink ref="O31" r:id="rId18" xr:uid="{C8130DAA-34AE-4E20-9121-7EC1F059B813}"/>
    <hyperlink ref="O32" r:id="rId19" xr:uid="{0760B43C-F473-4C7B-9BB2-B4785A54B864}"/>
    <hyperlink ref="O33" r:id="rId20" xr:uid="{80365478-7D4F-4298-B8A0-5B830250FF7F}"/>
    <hyperlink ref="O34" r:id="rId21" xr:uid="{2F15CACC-E877-400C-AF8C-6D941C0E9E1A}"/>
    <hyperlink ref="O35" r:id="rId22" xr:uid="{177304F5-C295-47FB-961B-5E3A1E1C4732}"/>
    <hyperlink ref="O36" r:id="rId23" xr:uid="{6F70ADEF-E864-4D13-91BC-C9E9488F0F32}"/>
    <hyperlink ref="O37" r:id="rId24" xr:uid="{58C7DEB9-7ECA-44CE-9BFE-5A219FC559C1}"/>
    <hyperlink ref="O38" r:id="rId25" xr:uid="{C7EE6E03-4AEB-4816-8A0A-BB0E31CFBA87}"/>
    <hyperlink ref="O39" r:id="rId26" xr:uid="{EAA21C97-CD09-4516-AB51-2716850C59BA}"/>
    <hyperlink ref="O40" r:id="rId27" xr:uid="{950C4C9C-339D-4300-B792-F7567D466B6D}"/>
    <hyperlink ref="O41" r:id="rId28" xr:uid="{0F21039F-6B3C-4119-AC4F-06AA73524D9A}"/>
  </hyperlinks>
  <pageMargins left="0.7" right="0.7" top="0.75" bottom="0.75" header="0.3" footer="0.3"/>
  <pageSetup paperSize="9" orientation="portrait" r:id="rId29"/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2022-12-29T15:11:59Z</dcterms:modified>
</cp:coreProperties>
</file>